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ncentchien/Desktop/My life/國外規劃/波蘭/SGH學校/1st semester-2023/Querrying, Data Presentation, Data Visualization and Reporting/Homework/20231016/"/>
    </mc:Choice>
  </mc:AlternateContent>
  <xr:revisionPtr revIDLastSave="0" documentId="13_ncr:1_{7729593E-7C4A-F14E-8351-6B4BB5224D9A}" xr6:coauthVersionLast="47" xr6:coauthVersionMax="47" xr10:uidLastSave="{00000000-0000-0000-0000-000000000000}"/>
  <bookViews>
    <workbookView xWindow="120" yWindow="500" windowWidth="26800" windowHeight="14020" xr2:uid="{00000000-000D-0000-FFFF-FFFF00000000}"/>
  </bookViews>
  <sheets>
    <sheet name="Pivot table" sheetId="8" r:id="rId1"/>
    <sheet name="Data" sheetId="1" r:id="rId2"/>
  </sheets>
  <calcPr calcId="191029"/>
  <pivotCaches>
    <pivotCache cacheId="5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</calcChain>
</file>

<file path=xl/sharedStrings.xml><?xml version="1.0" encoding="utf-8"?>
<sst xmlns="http://schemas.openxmlformats.org/spreadsheetml/2006/main" count="17" uniqueCount="16">
  <si>
    <t>Interest Rate Volatility</t>
  </si>
  <si>
    <t>Date</t>
  </si>
  <si>
    <t>FYGT1</t>
  </si>
  <si>
    <t>Change</t>
  </si>
  <si>
    <t>Grand Total</t>
  </si>
  <si>
    <t>Average of FYGT1</t>
  </si>
  <si>
    <t>Data</t>
  </si>
  <si>
    <t>StdDev of FYGT1</t>
  </si>
  <si>
    <t>8501-8600</t>
  </si>
  <si>
    <t>8601-8700</t>
  </si>
  <si>
    <t>8701-8800</t>
  </si>
  <si>
    <t>8801-8900</t>
  </si>
  <si>
    <t>8901-9000</t>
  </si>
  <si>
    <t>9001-9100</t>
  </si>
  <si>
    <t>9101-9200</t>
  </si>
  <si>
    <t>9201-9301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</si>
</sst>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38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[TP_zad4.xlsx]Pivot table!PivotTable6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StdDev of FYGT1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table'!$A$5:$A$13</c:f>
              <c:strCache>
                <c:ptCount val="8"/>
                <c:pt idx="0">
                  <c:v>8501-8600</c:v>
                </c:pt>
                <c:pt idx="1">
                  <c:v>8601-8700</c:v>
                </c:pt>
                <c:pt idx="2">
                  <c:v>8701-8800</c:v>
                </c:pt>
                <c:pt idx="3">
                  <c:v>8801-8900</c:v>
                </c:pt>
                <c:pt idx="4">
                  <c:v>8901-9000</c:v>
                </c:pt>
                <c:pt idx="5">
                  <c:v>9001-9100</c:v>
                </c:pt>
                <c:pt idx="6">
                  <c:v>9101-9200</c:v>
                </c:pt>
                <c:pt idx="7">
                  <c:v>9201-9301</c:v>
                </c:pt>
              </c:strCache>
            </c:strRef>
          </c:cat>
          <c:val>
            <c:numRef>
              <c:f>'Pivot table'!$B$5:$B$13</c:f>
              <c:numCache>
                <c:formatCode>General</c:formatCode>
                <c:ptCount val="8"/>
                <c:pt idx="0">
                  <c:v>0.71919725873342955</c:v>
                </c:pt>
                <c:pt idx="1">
                  <c:v>0.70672258926810894</c:v>
                </c:pt>
                <c:pt idx="2">
                  <c:v>0.60784953780196527</c:v>
                </c:pt>
                <c:pt idx="3">
                  <c:v>0.73898117825704557</c:v>
                </c:pt>
                <c:pt idx="4">
                  <c:v>0.66899517595762559</c:v>
                </c:pt>
                <c:pt idx="5">
                  <c:v>0.41978620099453989</c:v>
                </c:pt>
                <c:pt idx="6">
                  <c:v>0.69022833288351892</c:v>
                </c:pt>
                <c:pt idx="7">
                  <c:v>0.45098894181678428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C3-784A-86C3-162A73E4B4C9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Average of FYGT1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table'!$A$5:$A$13</c:f>
              <c:strCache>
                <c:ptCount val="8"/>
                <c:pt idx="0">
                  <c:v>8501-8600</c:v>
                </c:pt>
                <c:pt idx="1">
                  <c:v>8601-8700</c:v>
                </c:pt>
                <c:pt idx="2">
                  <c:v>8701-8800</c:v>
                </c:pt>
                <c:pt idx="3">
                  <c:v>8801-8900</c:v>
                </c:pt>
                <c:pt idx="4">
                  <c:v>8901-9000</c:v>
                </c:pt>
                <c:pt idx="5">
                  <c:v>9001-9100</c:v>
                </c:pt>
                <c:pt idx="6">
                  <c:v>9101-9200</c:v>
                </c:pt>
                <c:pt idx="7">
                  <c:v>9201-9301</c:v>
                </c:pt>
              </c:strCache>
            </c:strRef>
          </c:cat>
          <c:val>
            <c:numRef>
              <c:f>'Pivot table'!$C$5:$C$13</c:f>
              <c:numCache>
                <c:formatCode>General</c:formatCode>
                <c:ptCount val="8"/>
                <c:pt idx="0">
                  <c:v>8.4258333333333351</c:v>
                </c:pt>
                <c:pt idx="1">
                  <c:v>6.4624999999999995</c:v>
                </c:pt>
                <c:pt idx="2">
                  <c:v>6.7641666666666671</c:v>
                </c:pt>
                <c:pt idx="3">
                  <c:v>7.6524999999999999</c:v>
                </c:pt>
                <c:pt idx="4">
                  <c:v>8.5349999999999984</c:v>
                </c:pt>
                <c:pt idx="5">
                  <c:v>7.8825000000000003</c:v>
                </c:pt>
                <c:pt idx="6">
                  <c:v>5.8583333333333334</c:v>
                </c:pt>
                <c:pt idx="7">
                  <c:v>3.8592307692307695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C3-784A-86C3-162A73E4B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8116704"/>
        <c:axId val="1951626272"/>
      </c:lineChart>
      <c:catAx>
        <c:axId val="195811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51626272"/>
        <c:crosses val="autoZero"/>
        <c:auto val="1"/>
        <c:lblAlgn val="ctr"/>
        <c:lblOffset val="100"/>
        <c:noMultiLvlLbl val="0"/>
      </c:catAx>
      <c:valAx>
        <c:axId val="195162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5811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123527</xdr:colOff>
      <xdr:row>2</xdr:row>
      <xdr:rowOff>18454</xdr:rowOff>
    </xdr:from>
    <xdr:to>
      <xdr:col>9</xdr:col>
      <xdr:colOff>568026</xdr:colOff>
      <xdr:row>18</xdr:row>
      <xdr:rowOff>117774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EA122-682E-A118-C03A-61A91B73D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141111</xdr:rowOff>
    </xdr:from>
    <xdr:to>
      <xdr:col>4</xdr:col>
      <xdr:colOff>250961</xdr:colOff>
      <xdr:row>27</xdr:row>
      <xdr:rowOff>130257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D6D8AE-4660-A051-29F0-8A1046A5CA7D}"/>
            </a:ext>
          </a:extLst>
        </xdr:cNvPr>
        <xdr:cNvSpPr txBox="1"/>
      </xdr:nvSpPr>
      <xdr:spPr>
        <a:xfrm>
          <a:off x="0" y="3397521"/>
          <a:ext cx="4191217" cy="1128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effectLst/>
            </a:rPr>
            <a:t>According to the line chart, the trend of average interest rates and standard deviation interest rates do not match. In conclusion, the data does not support the statement.</a:t>
          </a:r>
          <a:endParaRPr lang="en-US" sz="1400">
            <a:effectLst/>
          </a:endParaRPr>
        </a:p>
        <a:p>
          <a:br>
            <a:rPr lang="en-US" sz="1400"/>
          </a:br>
          <a:endParaRPr lang="en-US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221.892157407405" createdVersion="1" refreshedVersion="8" recordCount="97" upgradeOnRefresh="1" xr:uid="{00000000-000A-0000-FFFF-FFFF37000000}">
  <cacheSource type="worksheet">
    <worksheetSource ref="A2:C99" sheet="Data"/>
  </cacheSource>
  <cacheFields count="3">
    <cacheField name="Date" numFmtId="0">
      <sharedItems containsSemiMixedTypes="0" containsString="0" containsNumber="1" containsInteger="1" minValue="8501" maxValue="9301" count="97"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301"/>
      </sharedItems>
      <fieldGroup base="0">
        <rangePr startNum="8501" endNum="9301" groupInterval="100"/>
        <groupItems count="10">
          <s v="&lt;8501"/>
          <s v="8501-8600"/>
          <s v="8601-8700"/>
          <s v="8701-8800"/>
          <s v="8801-8900"/>
          <s v="8901-9000"/>
          <s v="9001-9100"/>
          <s v="9101-9200"/>
          <s v="9201-9301"/>
          <s v="&gt;9301"/>
        </groupItems>
      </fieldGroup>
    </cacheField>
    <cacheField name="FYGT1" numFmtId="0">
      <sharedItems containsSemiMixedTypes="0" containsString="0" containsNumber="1" minValue="3.18" maxValue="9.86"/>
    </cacheField>
    <cacheField name="Change" numFmtId="0">
      <sharedItems containsString="0" containsBlank="1" containsNumber="1" minValue="-0.71999999999999886" maxValue="0.639999999999999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">
  <r>
    <x v="0"/>
    <n v="9.02"/>
    <m/>
  </r>
  <r>
    <x v="1"/>
    <n v="9.2899999999999991"/>
    <n v="0.26999999999999957"/>
  </r>
  <r>
    <x v="2"/>
    <n v="9.86"/>
    <n v="0.57000000000000028"/>
  </r>
  <r>
    <x v="3"/>
    <n v="9.14"/>
    <n v="-0.71999999999999886"/>
  </r>
  <r>
    <x v="4"/>
    <n v="8.4600000000000009"/>
    <n v="-0.67999999999999972"/>
  </r>
  <r>
    <x v="5"/>
    <n v="7.8"/>
    <n v="-0.66000000000000103"/>
  </r>
  <r>
    <x v="6"/>
    <n v="7.86"/>
    <n v="6.0000000000000497E-2"/>
  </r>
  <r>
    <x v="7"/>
    <n v="8.0500000000000007"/>
    <n v="0.19000000000000039"/>
  </r>
  <r>
    <x v="8"/>
    <n v="8.07"/>
    <n v="1.9999999999999574E-2"/>
  </r>
  <r>
    <x v="9"/>
    <n v="8.01"/>
    <n v="-6.0000000000000497E-2"/>
  </r>
  <r>
    <x v="10"/>
    <n v="7.88"/>
    <n v="-0.12999999999999989"/>
  </r>
  <r>
    <x v="11"/>
    <n v="7.67"/>
    <n v="-0.20999999999999996"/>
  </r>
  <r>
    <x v="12"/>
    <n v="7.73"/>
    <n v="6.0000000000000497E-2"/>
  </r>
  <r>
    <x v="13"/>
    <n v="7.61"/>
    <n v="-0.12000000000000011"/>
  </r>
  <r>
    <x v="14"/>
    <n v="7.03"/>
    <n v="-0.58000000000000007"/>
  </r>
  <r>
    <x v="15"/>
    <n v="6.44"/>
    <n v="-0.58999999999999986"/>
  </r>
  <r>
    <x v="16"/>
    <n v="6.65"/>
    <n v="0.20999999999999996"/>
  </r>
  <r>
    <x v="17"/>
    <n v="6.73"/>
    <n v="8.0000000000000071E-2"/>
  </r>
  <r>
    <x v="18"/>
    <n v="6.27"/>
    <n v="-0.46000000000000085"/>
  </r>
  <r>
    <x v="19"/>
    <n v="5.93"/>
    <n v="-0.33999999999999986"/>
  </r>
  <r>
    <x v="20"/>
    <n v="5.77"/>
    <n v="-0.16000000000000014"/>
  </r>
  <r>
    <x v="21"/>
    <n v="5.72"/>
    <n v="-4.9999999999999822E-2"/>
  </r>
  <r>
    <x v="22"/>
    <n v="5.8"/>
    <n v="8.0000000000000071E-2"/>
  </r>
  <r>
    <x v="23"/>
    <n v="5.87"/>
    <n v="7.0000000000000284E-2"/>
  </r>
  <r>
    <x v="24"/>
    <n v="5.78"/>
    <n v="-8.9999999999999858E-2"/>
  </r>
  <r>
    <x v="25"/>
    <n v="5.96"/>
    <n v="0.17999999999999972"/>
  </r>
  <r>
    <x v="26"/>
    <n v="6.03"/>
    <n v="7.0000000000000284E-2"/>
  </r>
  <r>
    <x v="27"/>
    <n v="6.5"/>
    <n v="0.46999999999999975"/>
  </r>
  <r>
    <x v="28"/>
    <n v="7"/>
    <n v="0.5"/>
  </r>
  <r>
    <x v="29"/>
    <n v="6.8"/>
    <n v="-0.20000000000000018"/>
  </r>
  <r>
    <x v="30"/>
    <n v="6.68"/>
    <n v="-0.12000000000000011"/>
  </r>
  <r>
    <x v="31"/>
    <n v="7.03"/>
    <n v="0.35000000000000053"/>
  </r>
  <r>
    <x v="32"/>
    <n v="7.67"/>
    <n v="0.63999999999999968"/>
  </r>
  <r>
    <x v="33"/>
    <n v="7.59"/>
    <n v="-8.0000000000000071E-2"/>
  </r>
  <r>
    <x v="34"/>
    <n v="6.96"/>
    <n v="-0.62999999999999989"/>
  </r>
  <r>
    <x v="35"/>
    <n v="7.17"/>
    <n v="0.20999999999999996"/>
  </r>
  <r>
    <x v="36"/>
    <n v="6.99"/>
    <n v="-0.17999999999999972"/>
  </r>
  <r>
    <x v="37"/>
    <n v="6.64"/>
    <n v="-0.35000000000000053"/>
  </r>
  <r>
    <x v="38"/>
    <n v="6.71"/>
    <n v="7.0000000000000284E-2"/>
  </r>
  <r>
    <x v="39"/>
    <n v="7.01"/>
    <n v="0.29999999999999982"/>
  </r>
  <r>
    <x v="40"/>
    <n v="7.4"/>
    <n v="0.39000000000000057"/>
  </r>
  <r>
    <x v="41"/>
    <n v="7.49"/>
    <n v="8.9999999999999858E-2"/>
  </r>
  <r>
    <x v="42"/>
    <n v="7.75"/>
    <n v="0.25999999999999979"/>
  </r>
  <r>
    <x v="43"/>
    <n v="8.17"/>
    <n v="0.41999999999999993"/>
  </r>
  <r>
    <x v="44"/>
    <n v="8.09"/>
    <n v="-8.0000000000000071E-2"/>
  </r>
  <r>
    <x v="45"/>
    <n v="8.11"/>
    <n v="1.9999999999999574E-2"/>
  </r>
  <r>
    <x v="46"/>
    <n v="8.48"/>
    <n v="0.37000000000000099"/>
  </r>
  <r>
    <x v="47"/>
    <n v="8.99"/>
    <n v="0.50999999999999979"/>
  </r>
  <r>
    <x v="48"/>
    <n v="9.0500000000000007"/>
    <n v="6.0000000000000497E-2"/>
  </r>
  <r>
    <x v="49"/>
    <n v="9.25"/>
    <n v="0.19999999999999929"/>
  </r>
  <r>
    <x v="50"/>
    <n v="9.57"/>
    <n v="0.32000000000000028"/>
  </r>
  <r>
    <x v="51"/>
    <n v="9.36"/>
    <n v="-0.21000000000000085"/>
  </r>
  <r>
    <x v="52"/>
    <n v="8.98"/>
    <n v="-0.37999999999999901"/>
  </r>
  <r>
    <x v="53"/>
    <n v="8.44"/>
    <n v="-0.54000000000000092"/>
  </r>
  <r>
    <x v="54"/>
    <n v="7.89"/>
    <n v="-0.54999999999999982"/>
  </r>
  <r>
    <x v="55"/>
    <n v="8.18"/>
    <n v="0.29000000000000004"/>
  </r>
  <r>
    <x v="56"/>
    <n v="8.2200000000000006"/>
    <n v="4.0000000000000924E-2"/>
  </r>
  <r>
    <x v="57"/>
    <n v="7.99"/>
    <n v="-0.23000000000000043"/>
  </r>
  <r>
    <x v="58"/>
    <n v="7.77"/>
    <n v="-0.22000000000000064"/>
  </r>
  <r>
    <x v="59"/>
    <n v="7.72"/>
    <n v="-4.9999999999999822E-2"/>
  </r>
  <r>
    <x v="60"/>
    <n v="7.92"/>
    <n v="0.20000000000000018"/>
  </r>
  <r>
    <x v="61"/>
    <n v="8.11"/>
    <n v="0.1899999999999995"/>
  </r>
  <r>
    <x v="62"/>
    <n v="8.35"/>
    <n v="0.24000000000000021"/>
  </r>
  <r>
    <x v="63"/>
    <n v="8.4"/>
    <n v="5.0000000000000711E-2"/>
  </r>
  <r>
    <x v="64"/>
    <n v="8.32"/>
    <n v="-8.0000000000000071E-2"/>
  </r>
  <r>
    <x v="65"/>
    <n v="8.1"/>
    <n v="-0.22000000000000064"/>
  </r>
  <r>
    <x v="66"/>
    <n v="7.94"/>
    <n v="-0.15999999999999925"/>
  </r>
  <r>
    <x v="67"/>
    <n v="7.78"/>
    <n v="-0.16000000000000014"/>
  </r>
  <r>
    <x v="68"/>
    <n v="7.76"/>
    <n v="-2.0000000000000462E-2"/>
  </r>
  <r>
    <x v="69"/>
    <n v="7.55"/>
    <n v="-0.20999999999999996"/>
  </r>
  <r>
    <x v="70"/>
    <n v="7.31"/>
    <n v="-0.24000000000000021"/>
  </r>
  <r>
    <x v="71"/>
    <n v="7.05"/>
    <n v="-0.25999999999999979"/>
  </r>
  <r>
    <x v="72"/>
    <n v="6.64"/>
    <n v="-0.41000000000000014"/>
  </r>
  <r>
    <x v="73"/>
    <n v="6.27"/>
    <n v="-0.37000000000000011"/>
  </r>
  <r>
    <x v="74"/>
    <n v="6.4"/>
    <n v="0.13000000000000078"/>
  </r>
  <r>
    <x v="75"/>
    <n v="6.24"/>
    <n v="-0.16000000000000014"/>
  </r>
  <r>
    <x v="76"/>
    <n v="6.13"/>
    <n v="-0.11000000000000032"/>
  </r>
  <r>
    <x v="77"/>
    <n v="6.36"/>
    <n v="0.23000000000000043"/>
  </r>
  <r>
    <x v="78"/>
    <n v="6.31"/>
    <n v="-5.0000000000000711E-2"/>
  </r>
  <r>
    <x v="79"/>
    <n v="5.78"/>
    <n v="-0.52999999999999936"/>
  </r>
  <r>
    <x v="80"/>
    <n v="5.57"/>
    <n v="-0.20999999999999996"/>
  </r>
  <r>
    <x v="81"/>
    <n v="5.33"/>
    <n v="-0.24000000000000021"/>
  </r>
  <r>
    <x v="82"/>
    <n v="4.8899999999999997"/>
    <n v="-0.44000000000000039"/>
  </r>
  <r>
    <x v="83"/>
    <n v="4.38"/>
    <n v="-0.50999999999999979"/>
  </r>
  <r>
    <x v="84"/>
    <n v="4.1500000000000004"/>
    <n v="-0.22999999999999954"/>
  </r>
  <r>
    <x v="85"/>
    <n v="4.29"/>
    <n v="0.13999999999999968"/>
  </r>
  <r>
    <x v="86"/>
    <n v="4.63"/>
    <n v="0.33999999999999986"/>
  </r>
  <r>
    <x v="87"/>
    <n v="4.3"/>
    <n v="-0.33000000000000007"/>
  </r>
  <r>
    <x v="88"/>
    <n v="4.1900000000000004"/>
    <n v="-0.10999999999999943"/>
  </r>
  <r>
    <x v="89"/>
    <n v="4.17"/>
    <n v="-2.0000000000000462E-2"/>
  </r>
  <r>
    <x v="90"/>
    <n v="3.6"/>
    <n v="-0.56999999999999984"/>
  </r>
  <r>
    <x v="91"/>
    <n v="3.47"/>
    <n v="-0.12999999999999989"/>
  </r>
  <r>
    <x v="92"/>
    <n v="3.18"/>
    <n v="-0.29000000000000004"/>
  </r>
  <r>
    <x v="93"/>
    <n v="3.3"/>
    <n v="0.11999999999999966"/>
  </r>
  <r>
    <x v="94"/>
    <n v="3.68"/>
    <n v="0.38000000000000034"/>
  </r>
  <r>
    <x v="95"/>
    <n v="3.71"/>
    <n v="2.9999999999999805E-2"/>
  </r>
  <r>
    <x v="96"/>
    <n v="3.5"/>
    <n v="-0.2099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6" cacheId="58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C13" firstHeaderRow="1" firstDataRow="2" firstDataCol="1"/>
  <pivotFields count="3">
    <pivotField axis="axisRow" compact="0" outline="0" showAll="0" includeNewItemsInFilter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outline="0" showAll="0" includeNewItemsInFilter="1"/>
    <pivotField compact="0" outline="0" showAll="0" includeNewItemsInFilter="1"/>
  </pivotFields>
  <rowFields count="1"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tdDev of FYGT1" fld="1" subtotal="stdDev" baseField="0" baseItem="0"/>
    <dataField name="Average of FYGT1" fld="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30"/>
  <sheetViews>
    <sheetView tabSelected="1" zoomScale="117" workbookViewId="0">
      <selection activeCell="C16" sqref="C16"/>
    </sheetView>
  </sheetViews>
  <sheetFormatPr baseColWidth="10" defaultRowHeight="13" x14ac:dyDescent="0.15"/>
  <cols>
    <col min="1" max="1" width="10.33203125" bestFit="1" customWidth="1"/>
    <col min="2" max="2" width="14.83203125" bestFit="1" customWidth="1"/>
    <col min="3" max="3" width="15.6640625" bestFit="1" customWidth="1"/>
  </cols>
  <sheetData>
    <row r="3" spans="1:3" x14ac:dyDescent="0.15">
      <c r="A3" s="2"/>
      <c r="B3" s="4" t="s">
        <v>6</v>
      </c>
      <c r="C3" s="3"/>
    </row>
    <row r="4" spans="1:3" x14ac:dyDescent="0.15">
      <c r="A4" s="4" t="s">
        <v>1</v>
      </c>
      <c r="B4" s="2" t="s">
        <v>7</v>
      </c>
      <c r="C4" s="7" t="s">
        <v>5</v>
      </c>
    </row>
    <row r="5" spans="1:3" x14ac:dyDescent="0.15">
      <c r="A5" s="2" t="s">
        <v>8</v>
      </c>
      <c r="B5" s="2">
        <v>0.71919725873342955</v>
      </c>
      <c r="C5" s="7">
        <v>8.4258333333333351</v>
      </c>
    </row>
    <row r="6" spans="1:3" x14ac:dyDescent="0.15">
      <c r="A6" s="5" t="s">
        <v>9</v>
      </c>
      <c r="B6" s="5">
        <v>0.70672258926810894</v>
      </c>
      <c r="C6" s="8">
        <v>6.4624999999999995</v>
      </c>
    </row>
    <row r="7" spans="1:3" x14ac:dyDescent="0.15">
      <c r="A7" s="5" t="s">
        <v>10</v>
      </c>
      <c r="B7" s="5">
        <v>0.60784953780196527</v>
      </c>
      <c r="C7" s="8">
        <v>6.7641666666666671</v>
      </c>
    </row>
    <row r="8" spans="1:3" x14ac:dyDescent="0.15">
      <c r="A8" s="5" t="s">
        <v>11</v>
      </c>
      <c r="B8" s="5">
        <v>0.73898117825704557</v>
      </c>
      <c r="C8" s="8">
        <v>7.6524999999999999</v>
      </c>
    </row>
    <row r="9" spans="1:3" x14ac:dyDescent="0.15">
      <c r="A9" s="5" t="s">
        <v>12</v>
      </c>
      <c r="B9" s="5">
        <v>0.66899517595762559</v>
      </c>
      <c r="C9" s="8">
        <v>8.5349999999999984</v>
      </c>
    </row>
    <row r="10" spans="1:3" x14ac:dyDescent="0.15">
      <c r="A10" s="5" t="s">
        <v>13</v>
      </c>
      <c r="B10" s="5">
        <v>0.41978620099453989</v>
      </c>
      <c r="C10" s="8">
        <v>7.8825000000000003</v>
      </c>
    </row>
    <row r="11" spans="1:3" x14ac:dyDescent="0.15">
      <c r="A11" s="5" t="s">
        <v>14</v>
      </c>
      <c r="B11" s="5">
        <v>0.69022833288351892</v>
      </c>
      <c r="C11" s="8">
        <v>5.8583333333333334</v>
      </c>
    </row>
    <row r="12" spans="1:3" x14ac:dyDescent="0.15">
      <c r="A12" s="5" t="s">
        <v>15</v>
      </c>
      <c r="B12" s="5">
        <v>0.45098894181678428</v>
      </c>
      <c r="C12" s="8">
        <v>3.8592307692307695</v>
      </c>
    </row>
    <row r="13" spans="1:3" x14ac:dyDescent="0.15">
      <c r="A13" s="6" t="s">
        <v>4</v>
      </c>
      <c r="B13" s="6">
        <v>1.6135291808721053</v>
      </c>
      <c r="C13" s="9">
        <v>6.8983505154639166</v>
      </c>
    </row>
    <row r="30" spans="1:1" x14ac:dyDescent="0.15">
      <c r="A30" s="10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99"/>
  <sheetViews>
    <sheetView topLeftCell="A2" workbookViewId="0">
      <selection activeCell="A2" sqref="A2:C99"/>
    </sheetView>
  </sheetViews>
  <sheetFormatPr baseColWidth="10" defaultColWidth="8.83203125" defaultRowHeight="13" x14ac:dyDescent="0.15"/>
  <sheetData>
    <row r="1" spans="1:5" x14ac:dyDescent="0.15">
      <c r="A1" s="1" t="s">
        <v>0</v>
      </c>
      <c r="B1" s="1"/>
      <c r="C1" s="1"/>
      <c r="D1" s="1"/>
      <c r="E1" s="1"/>
    </row>
    <row r="2" spans="1:5" x14ac:dyDescent="0.15">
      <c r="A2" t="s">
        <v>1</v>
      </c>
      <c r="B2" t="s">
        <v>2</v>
      </c>
      <c r="C2" t="s">
        <v>3</v>
      </c>
    </row>
    <row r="3" spans="1:5" x14ac:dyDescent="0.15">
      <c r="A3">
        <v>8501</v>
      </c>
      <c r="B3">
        <v>9.02</v>
      </c>
    </row>
    <row r="4" spans="1:5" x14ac:dyDescent="0.15">
      <c r="A4">
        <v>8502</v>
      </c>
      <c r="B4">
        <v>9.2899999999999991</v>
      </c>
      <c r="C4">
        <f>B4-B3</f>
        <v>0.26999999999999957</v>
      </c>
    </row>
    <row r="5" spans="1:5" x14ac:dyDescent="0.15">
      <c r="A5">
        <v>8503</v>
      </c>
      <c r="B5">
        <v>9.86</v>
      </c>
      <c r="C5">
        <f t="shared" ref="C5:C20" si="0">B5-B4</f>
        <v>0.57000000000000028</v>
      </c>
    </row>
    <row r="6" spans="1:5" x14ac:dyDescent="0.15">
      <c r="A6">
        <v>8504</v>
      </c>
      <c r="B6">
        <v>9.14</v>
      </c>
      <c r="C6">
        <f t="shared" si="0"/>
        <v>-0.71999999999999886</v>
      </c>
    </row>
    <row r="7" spans="1:5" x14ac:dyDescent="0.15">
      <c r="A7">
        <v>8505</v>
      </c>
      <c r="B7">
        <v>8.4600000000000009</v>
      </c>
      <c r="C7">
        <f t="shared" si="0"/>
        <v>-0.67999999999999972</v>
      </c>
    </row>
    <row r="8" spans="1:5" x14ac:dyDescent="0.15">
      <c r="A8">
        <v>8506</v>
      </c>
      <c r="B8">
        <v>7.8</v>
      </c>
      <c r="C8">
        <f t="shared" si="0"/>
        <v>-0.66000000000000103</v>
      </c>
    </row>
    <row r="9" spans="1:5" x14ac:dyDescent="0.15">
      <c r="A9">
        <v>8507</v>
      </c>
      <c r="B9">
        <v>7.86</v>
      </c>
      <c r="C9">
        <f t="shared" si="0"/>
        <v>6.0000000000000497E-2</v>
      </c>
    </row>
    <row r="10" spans="1:5" x14ac:dyDescent="0.15">
      <c r="A10">
        <v>8508</v>
      </c>
      <c r="B10">
        <v>8.0500000000000007</v>
      </c>
      <c r="C10">
        <f t="shared" si="0"/>
        <v>0.19000000000000039</v>
      </c>
    </row>
    <row r="11" spans="1:5" x14ac:dyDescent="0.15">
      <c r="A11">
        <v>8509</v>
      </c>
      <c r="B11">
        <v>8.07</v>
      </c>
      <c r="C11">
        <f t="shared" si="0"/>
        <v>1.9999999999999574E-2</v>
      </c>
    </row>
    <row r="12" spans="1:5" x14ac:dyDescent="0.15">
      <c r="A12">
        <v>8510</v>
      </c>
      <c r="B12">
        <v>8.01</v>
      </c>
      <c r="C12">
        <f t="shared" si="0"/>
        <v>-6.0000000000000497E-2</v>
      </c>
    </row>
    <row r="13" spans="1:5" x14ac:dyDescent="0.15">
      <c r="A13">
        <v>8511</v>
      </c>
      <c r="B13">
        <v>7.88</v>
      </c>
      <c r="C13">
        <f t="shared" si="0"/>
        <v>-0.12999999999999989</v>
      </c>
    </row>
    <row r="14" spans="1:5" x14ac:dyDescent="0.15">
      <c r="A14">
        <v>8512</v>
      </c>
      <c r="B14">
        <v>7.67</v>
      </c>
      <c r="C14">
        <f t="shared" si="0"/>
        <v>-0.20999999999999996</v>
      </c>
    </row>
    <row r="15" spans="1:5" x14ac:dyDescent="0.15">
      <c r="A15">
        <v>8601</v>
      </c>
      <c r="B15">
        <v>7.73</v>
      </c>
      <c r="C15">
        <f t="shared" si="0"/>
        <v>6.0000000000000497E-2</v>
      </c>
    </row>
    <row r="16" spans="1:5" x14ac:dyDescent="0.15">
      <c r="A16">
        <v>8602</v>
      </c>
      <c r="B16">
        <v>7.61</v>
      </c>
      <c r="C16">
        <f t="shared" si="0"/>
        <v>-0.12000000000000011</v>
      </c>
    </row>
    <row r="17" spans="1:3" x14ac:dyDescent="0.15">
      <c r="A17">
        <v>8603</v>
      </c>
      <c r="B17">
        <v>7.03</v>
      </c>
      <c r="C17">
        <f t="shared" si="0"/>
        <v>-0.58000000000000007</v>
      </c>
    </row>
    <row r="18" spans="1:3" x14ac:dyDescent="0.15">
      <c r="A18">
        <v>8604</v>
      </c>
      <c r="B18">
        <v>6.44</v>
      </c>
      <c r="C18">
        <f t="shared" si="0"/>
        <v>-0.58999999999999986</v>
      </c>
    </row>
    <row r="19" spans="1:3" x14ac:dyDescent="0.15">
      <c r="A19">
        <v>8605</v>
      </c>
      <c r="B19">
        <v>6.65</v>
      </c>
      <c r="C19">
        <f t="shared" si="0"/>
        <v>0.20999999999999996</v>
      </c>
    </row>
    <row r="20" spans="1:3" x14ac:dyDescent="0.15">
      <c r="A20">
        <v>8606</v>
      </c>
      <c r="B20">
        <v>6.73</v>
      </c>
      <c r="C20">
        <f t="shared" si="0"/>
        <v>8.0000000000000071E-2</v>
      </c>
    </row>
    <row r="21" spans="1:3" x14ac:dyDescent="0.15">
      <c r="A21">
        <v>8607</v>
      </c>
      <c r="B21">
        <v>6.27</v>
      </c>
      <c r="C21">
        <f t="shared" ref="C21:C36" si="1">B21-B20</f>
        <v>-0.46000000000000085</v>
      </c>
    </row>
    <row r="22" spans="1:3" x14ac:dyDescent="0.15">
      <c r="A22">
        <v>8608</v>
      </c>
      <c r="B22">
        <v>5.93</v>
      </c>
      <c r="C22">
        <f t="shared" si="1"/>
        <v>-0.33999999999999986</v>
      </c>
    </row>
    <row r="23" spans="1:3" x14ac:dyDescent="0.15">
      <c r="A23">
        <v>8609</v>
      </c>
      <c r="B23">
        <v>5.77</v>
      </c>
      <c r="C23">
        <f t="shared" si="1"/>
        <v>-0.16000000000000014</v>
      </c>
    </row>
    <row r="24" spans="1:3" x14ac:dyDescent="0.15">
      <c r="A24">
        <v>8610</v>
      </c>
      <c r="B24">
        <v>5.72</v>
      </c>
      <c r="C24">
        <f t="shared" si="1"/>
        <v>-4.9999999999999822E-2</v>
      </c>
    </row>
    <row r="25" spans="1:3" x14ac:dyDescent="0.15">
      <c r="A25">
        <v>8611</v>
      </c>
      <c r="B25">
        <v>5.8</v>
      </c>
      <c r="C25">
        <f t="shared" si="1"/>
        <v>8.0000000000000071E-2</v>
      </c>
    </row>
    <row r="26" spans="1:3" x14ac:dyDescent="0.15">
      <c r="A26">
        <v>8612</v>
      </c>
      <c r="B26">
        <v>5.87</v>
      </c>
      <c r="C26">
        <f t="shared" si="1"/>
        <v>7.0000000000000284E-2</v>
      </c>
    </row>
    <row r="27" spans="1:3" x14ac:dyDescent="0.15">
      <c r="A27">
        <v>8701</v>
      </c>
      <c r="B27">
        <v>5.78</v>
      </c>
      <c r="C27">
        <f t="shared" si="1"/>
        <v>-8.9999999999999858E-2</v>
      </c>
    </row>
    <row r="28" spans="1:3" x14ac:dyDescent="0.15">
      <c r="A28">
        <v>8702</v>
      </c>
      <c r="B28">
        <v>5.96</v>
      </c>
      <c r="C28">
        <f t="shared" si="1"/>
        <v>0.17999999999999972</v>
      </c>
    </row>
    <row r="29" spans="1:3" x14ac:dyDescent="0.15">
      <c r="A29">
        <v>8703</v>
      </c>
      <c r="B29">
        <v>6.03</v>
      </c>
      <c r="C29">
        <f t="shared" si="1"/>
        <v>7.0000000000000284E-2</v>
      </c>
    </row>
    <row r="30" spans="1:3" x14ac:dyDescent="0.15">
      <c r="A30">
        <v>8704</v>
      </c>
      <c r="B30">
        <v>6.5</v>
      </c>
      <c r="C30">
        <f t="shared" si="1"/>
        <v>0.46999999999999975</v>
      </c>
    </row>
    <row r="31" spans="1:3" x14ac:dyDescent="0.15">
      <c r="A31">
        <v>8705</v>
      </c>
      <c r="B31">
        <v>7</v>
      </c>
      <c r="C31">
        <f t="shared" si="1"/>
        <v>0.5</v>
      </c>
    </row>
    <row r="32" spans="1:3" x14ac:dyDescent="0.15">
      <c r="A32">
        <v>8706</v>
      </c>
      <c r="B32">
        <v>6.8</v>
      </c>
      <c r="C32">
        <f t="shared" si="1"/>
        <v>-0.20000000000000018</v>
      </c>
    </row>
    <row r="33" spans="1:3" x14ac:dyDescent="0.15">
      <c r="A33">
        <v>8707</v>
      </c>
      <c r="B33">
        <v>6.68</v>
      </c>
      <c r="C33">
        <f t="shared" si="1"/>
        <v>-0.12000000000000011</v>
      </c>
    </row>
    <row r="34" spans="1:3" x14ac:dyDescent="0.15">
      <c r="A34">
        <v>8708</v>
      </c>
      <c r="B34">
        <v>7.03</v>
      </c>
      <c r="C34">
        <f t="shared" si="1"/>
        <v>0.35000000000000053</v>
      </c>
    </row>
    <row r="35" spans="1:3" x14ac:dyDescent="0.15">
      <c r="A35">
        <v>8709</v>
      </c>
      <c r="B35">
        <v>7.67</v>
      </c>
      <c r="C35">
        <f t="shared" si="1"/>
        <v>0.63999999999999968</v>
      </c>
    </row>
    <row r="36" spans="1:3" x14ac:dyDescent="0.15">
      <c r="A36">
        <v>8710</v>
      </c>
      <c r="B36">
        <v>7.59</v>
      </c>
      <c r="C36">
        <f t="shared" si="1"/>
        <v>-8.0000000000000071E-2</v>
      </c>
    </row>
    <row r="37" spans="1:3" x14ac:dyDescent="0.15">
      <c r="A37">
        <v>8711</v>
      </c>
      <c r="B37">
        <v>6.96</v>
      </c>
      <c r="C37">
        <f t="shared" ref="C37:C52" si="2">B37-B36</f>
        <v>-0.62999999999999989</v>
      </c>
    </row>
    <row r="38" spans="1:3" x14ac:dyDescent="0.15">
      <c r="A38">
        <v>8712</v>
      </c>
      <c r="B38">
        <v>7.17</v>
      </c>
      <c r="C38">
        <f t="shared" si="2"/>
        <v>0.20999999999999996</v>
      </c>
    </row>
    <row r="39" spans="1:3" x14ac:dyDescent="0.15">
      <c r="A39">
        <v>8801</v>
      </c>
      <c r="B39">
        <v>6.99</v>
      </c>
      <c r="C39">
        <f t="shared" si="2"/>
        <v>-0.17999999999999972</v>
      </c>
    </row>
    <row r="40" spans="1:3" x14ac:dyDescent="0.15">
      <c r="A40">
        <v>8802</v>
      </c>
      <c r="B40">
        <v>6.64</v>
      </c>
      <c r="C40">
        <f t="shared" si="2"/>
        <v>-0.35000000000000053</v>
      </c>
    </row>
    <row r="41" spans="1:3" x14ac:dyDescent="0.15">
      <c r="A41">
        <v>8803</v>
      </c>
      <c r="B41">
        <v>6.71</v>
      </c>
      <c r="C41">
        <f t="shared" si="2"/>
        <v>7.0000000000000284E-2</v>
      </c>
    </row>
    <row r="42" spans="1:3" x14ac:dyDescent="0.15">
      <c r="A42">
        <v>8804</v>
      </c>
      <c r="B42">
        <v>7.01</v>
      </c>
      <c r="C42">
        <f t="shared" si="2"/>
        <v>0.29999999999999982</v>
      </c>
    </row>
    <row r="43" spans="1:3" x14ac:dyDescent="0.15">
      <c r="A43">
        <v>8805</v>
      </c>
      <c r="B43">
        <v>7.4</v>
      </c>
      <c r="C43">
        <f t="shared" si="2"/>
        <v>0.39000000000000057</v>
      </c>
    </row>
    <row r="44" spans="1:3" x14ac:dyDescent="0.15">
      <c r="A44">
        <v>8806</v>
      </c>
      <c r="B44">
        <v>7.49</v>
      </c>
      <c r="C44">
        <f t="shared" si="2"/>
        <v>8.9999999999999858E-2</v>
      </c>
    </row>
    <row r="45" spans="1:3" x14ac:dyDescent="0.15">
      <c r="A45">
        <v>8807</v>
      </c>
      <c r="B45">
        <v>7.75</v>
      </c>
      <c r="C45">
        <f t="shared" si="2"/>
        <v>0.25999999999999979</v>
      </c>
    </row>
    <row r="46" spans="1:3" x14ac:dyDescent="0.15">
      <c r="A46">
        <v>8808</v>
      </c>
      <c r="B46">
        <v>8.17</v>
      </c>
      <c r="C46">
        <f t="shared" si="2"/>
        <v>0.41999999999999993</v>
      </c>
    </row>
    <row r="47" spans="1:3" x14ac:dyDescent="0.15">
      <c r="A47">
        <v>8809</v>
      </c>
      <c r="B47">
        <v>8.09</v>
      </c>
      <c r="C47">
        <f t="shared" si="2"/>
        <v>-8.0000000000000071E-2</v>
      </c>
    </row>
    <row r="48" spans="1:3" x14ac:dyDescent="0.15">
      <c r="A48">
        <v>8810</v>
      </c>
      <c r="B48">
        <v>8.11</v>
      </c>
      <c r="C48">
        <f t="shared" si="2"/>
        <v>1.9999999999999574E-2</v>
      </c>
    </row>
    <row r="49" spans="1:3" x14ac:dyDescent="0.15">
      <c r="A49">
        <v>8811</v>
      </c>
      <c r="B49">
        <v>8.48</v>
      </c>
      <c r="C49">
        <f t="shared" si="2"/>
        <v>0.37000000000000099</v>
      </c>
    </row>
    <row r="50" spans="1:3" x14ac:dyDescent="0.15">
      <c r="A50">
        <v>8812</v>
      </c>
      <c r="B50">
        <v>8.99</v>
      </c>
      <c r="C50">
        <f t="shared" si="2"/>
        <v>0.50999999999999979</v>
      </c>
    </row>
    <row r="51" spans="1:3" x14ac:dyDescent="0.15">
      <c r="A51">
        <v>8901</v>
      </c>
      <c r="B51">
        <v>9.0500000000000007</v>
      </c>
      <c r="C51">
        <f t="shared" si="2"/>
        <v>6.0000000000000497E-2</v>
      </c>
    </row>
    <row r="52" spans="1:3" x14ac:dyDescent="0.15">
      <c r="A52">
        <v>8902</v>
      </c>
      <c r="B52">
        <v>9.25</v>
      </c>
      <c r="C52">
        <f t="shared" si="2"/>
        <v>0.19999999999999929</v>
      </c>
    </row>
    <row r="53" spans="1:3" x14ac:dyDescent="0.15">
      <c r="A53">
        <v>8903</v>
      </c>
      <c r="B53">
        <v>9.57</v>
      </c>
      <c r="C53">
        <f t="shared" ref="C53:C68" si="3">B53-B52</f>
        <v>0.32000000000000028</v>
      </c>
    </row>
    <row r="54" spans="1:3" x14ac:dyDescent="0.15">
      <c r="A54">
        <v>8904</v>
      </c>
      <c r="B54">
        <v>9.36</v>
      </c>
      <c r="C54">
        <f t="shared" si="3"/>
        <v>-0.21000000000000085</v>
      </c>
    </row>
    <row r="55" spans="1:3" x14ac:dyDescent="0.15">
      <c r="A55">
        <v>8905</v>
      </c>
      <c r="B55">
        <v>8.98</v>
      </c>
      <c r="C55">
        <f t="shared" si="3"/>
        <v>-0.37999999999999901</v>
      </c>
    </row>
    <row r="56" spans="1:3" x14ac:dyDescent="0.15">
      <c r="A56">
        <v>8906</v>
      </c>
      <c r="B56">
        <v>8.44</v>
      </c>
      <c r="C56">
        <f t="shared" si="3"/>
        <v>-0.54000000000000092</v>
      </c>
    </row>
    <row r="57" spans="1:3" x14ac:dyDescent="0.15">
      <c r="A57">
        <v>8907</v>
      </c>
      <c r="B57">
        <v>7.89</v>
      </c>
      <c r="C57">
        <f t="shared" si="3"/>
        <v>-0.54999999999999982</v>
      </c>
    </row>
    <row r="58" spans="1:3" x14ac:dyDescent="0.15">
      <c r="A58">
        <v>8908</v>
      </c>
      <c r="B58">
        <v>8.18</v>
      </c>
      <c r="C58">
        <f t="shared" si="3"/>
        <v>0.29000000000000004</v>
      </c>
    </row>
    <row r="59" spans="1:3" x14ac:dyDescent="0.15">
      <c r="A59">
        <v>8909</v>
      </c>
      <c r="B59">
        <v>8.2200000000000006</v>
      </c>
      <c r="C59">
        <f t="shared" si="3"/>
        <v>4.0000000000000924E-2</v>
      </c>
    </row>
    <row r="60" spans="1:3" x14ac:dyDescent="0.15">
      <c r="A60">
        <v>8910</v>
      </c>
      <c r="B60">
        <v>7.99</v>
      </c>
      <c r="C60">
        <f t="shared" si="3"/>
        <v>-0.23000000000000043</v>
      </c>
    </row>
    <row r="61" spans="1:3" x14ac:dyDescent="0.15">
      <c r="A61">
        <v>8911</v>
      </c>
      <c r="B61">
        <v>7.77</v>
      </c>
      <c r="C61">
        <f t="shared" si="3"/>
        <v>-0.22000000000000064</v>
      </c>
    </row>
    <row r="62" spans="1:3" x14ac:dyDescent="0.15">
      <c r="A62">
        <v>8912</v>
      </c>
      <c r="B62">
        <v>7.72</v>
      </c>
      <c r="C62">
        <f t="shared" si="3"/>
        <v>-4.9999999999999822E-2</v>
      </c>
    </row>
    <row r="63" spans="1:3" x14ac:dyDescent="0.15">
      <c r="A63">
        <v>9001</v>
      </c>
      <c r="B63">
        <v>7.92</v>
      </c>
      <c r="C63">
        <f t="shared" si="3"/>
        <v>0.20000000000000018</v>
      </c>
    </row>
    <row r="64" spans="1:3" x14ac:dyDescent="0.15">
      <c r="A64">
        <v>9002</v>
      </c>
      <c r="B64">
        <v>8.11</v>
      </c>
      <c r="C64">
        <f t="shared" si="3"/>
        <v>0.1899999999999995</v>
      </c>
    </row>
    <row r="65" spans="1:3" x14ac:dyDescent="0.15">
      <c r="A65">
        <v>9003</v>
      </c>
      <c r="B65">
        <v>8.35</v>
      </c>
      <c r="C65">
        <f t="shared" si="3"/>
        <v>0.24000000000000021</v>
      </c>
    </row>
    <row r="66" spans="1:3" x14ac:dyDescent="0.15">
      <c r="A66">
        <v>9004</v>
      </c>
      <c r="B66">
        <v>8.4</v>
      </c>
      <c r="C66">
        <f t="shared" si="3"/>
        <v>5.0000000000000711E-2</v>
      </c>
    </row>
    <row r="67" spans="1:3" x14ac:dyDescent="0.15">
      <c r="A67">
        <v>9005</v>
      </c>
      <c r="B67">
        <v>8.32</v>
      </c>
      <c r="C67">
        <f t="shared" si="3"/>
        <v>-8.0000000000000071E-2</v>
      </c>
    </row>
    <row r="68" spans="1:3" x14ac:dyDescent="0.15">
      <c r="A68">
        <v>9006</v>
      </c>
      <c r="B68">
        <v>8.1</v>
      </c>
      <c r="C68">
        <f t="shared" si="3"/>
        <v>-0.22000000000000064</v>
      </c>
    </row>
    <row r="69" spans="1:3" x14ac:dyDescent="0.15">
      <c r="A69">
        <v>9007</v>
      </c>
      <c r="B69">
        <v>7.94</v>
      </c>
      <c r="C69">
        <f t="shared" ref="C69:C84" si="4">B69-B68</f>
        <v>-0.15999999999999925</v>
      </c>
    </row>
    <row r="70" spans="1:3" x14ac:dyDescent="0.15">
      <c r="A70">
        <v>9008</v>
      </c>
      <c r="B70">
        <v>7.78</v>
      </c>
      <c r="C70">
        <f t="shared" si="4"/>
        <v>-0.16000000000000014</v>
      </c>
    </row>
    <row r="71" spans="1:3" x14ac:dyDescent="0.15">
      <c r="A71">
        <v>9009</v>
      </c>
      <c r="B71">
        <v>7.76</v>
      </c>
      <c r="C71">
        <f t="shared" si="4"/>
        <v>-2.0000000000000462E-2</v>
      </c>
    </row>
    <row r="72" spans="1:3" x14ac:dyDescent="0.15">
      <c r="A72">
        <v>9010</v>
      </c>
      <c r="B72">
        <v>7.55</v>
      </c>
      <c r="C72">
        <f t="shared" si="4"/>
        <v>-0.20999999999999996</v>
      </c>
    </row>
    <row r="73" spans="1:3" x14ac:dyDescent="0.15">
      <c r="A73">
        <v>9011</v>
      </c>
      <c r="B73">
        <v>7.31</v>
      </c>
      <c r="C73">
        <f t="shared" si="4"/>
        <v>-0.24000000000000021</v>
      </c>
    </row>
    <row r="74" spans="1:3" x14ac:dyDescent="0.15">
      <c r="A74">
        <v>9012</v>
      </c>
      <c r="B74">
        <v>7.05</v>
      </c>
      <c r="C74">
        <f t="shared" si="4"/>
        <v>-0.25999999999999979</v>
      </c>
    </row>
    <row r="75" spans="1:3" x14ac:dyDescent="0.15">
      <c r="A75">
        <v>9101</v>
      </c>
      <c r="B75">
        <v>6.64</v>
      </c>
      <c r="C75">
        <f t="shared" si="4"/>
        <v>-0.41000000000000014</v>
      </c>
    </row>
    <row r="76" spans="1:3" x14ac:dyDescent="0.15">
      <c r="A76">
        <v>9102</v>
      </c>
      <c r="B76">
        <v>6.27</v>
      </c>
      <c r="C76">
        <f t="shared" si="4"/>
        <v>-0.37000000000000011</v>
      </c>
    </row>
    <row r="77" spans="1:3" x14ac:dyDescent="0.15">
      <c r="A77">
        <v>9103</v>
      </c>
      <c r="B77">
        <v>6.4</v>
      </c>
      <c r="C77">
        <f t="shared" si="4"/>
        <v>0.13000000000000078</v>
      </c>
    </row>
    <row r="78" spans="1:3" x14ac:dyDescent="0.15">
      <c r="A78">
        <v>9104</v>
      </c>
      <c r="B78">
        <v>6.24</v>
      </c>
      <c r="C78">
        <f t="shared" si="4"/>
        <v>-0.16000000000000014</v>
      </c>
    </row>
    <row r="79" spans="1:3" x14ac:dyDescent="0.15">
      <c r="A79">
        <v>9105</v>
      </c>
      <c r="B79">
        <v>6.13</v>
      </c>
      <c r="C79">
        <f t="shared" si="4"/>
        <v>-0.11000000000000032</v>
      </c>
    </row>
    <row r="80" spans="1:3" x14ac:dyDescent="0.15">
      <c r="A80">
        <v>9106</v>
      </c>
      <c r="B80">
        <v>6.36</v>
      </c>
      <c r="C80">
        <f t="shared" si="4"/>
        <v>0.23000000000000043</v>
      </c>
    </row>
    <row r="81" spans="1:3" x14ac:dyDescent="0.15">
      <c r="A81">
        <v>9107</v>
      </c>
      <c r="B81">
        <v>6.31</v>
      </c>
      <c r="C81">
        <f t="shared" si="4"/>
        <v>-5.0000000000000711E-2</v>
      </c>
    </row>
    <row r="82" spans="1:3" x14ac:dyDescent="0.15">
      <c r="A82">
        <v>9108</v>
      </c>
      <c r="B82">
        <v>5.78</v>
      </c>
      <c r="C82">
        <f t="shared" si="4"/>
        <v>-0.52999999999999936</v>
      </c>
    </row>
    <row r="83" spans="1:3" x14ac:dyDescent="0.15">
      <c r="A83">
        <v>9109</v>
      </c>
      <c r="B83">
        <v>5.57</v>
      </c>
      <c r="C83">
        <f t="shared" si="4"/>
        <v>-0.20999999999999996</v>
      </c>
    </row>
    <row r="84" spans="1:3" x14ac:dyDescent="0.15">
      <c r="A84">
        <v>9110</v>
      </c>
      <c r="B84">
        <v>5.33</v>
      </c>
      <c r="C84">
        <f t="shared" si="4"/>
        <v>-0.24000000000000021</v>
      </c>
    </row>
    <row r="85" spans="1:3" x14ac:dyDescent="0.15">
      <c r="A85">
        <v>9111</v>
      </c>
      <c r="B85">
        <v>4.8899999999999997</v>
      </c>
      <c r="C85">
        <f t="shared" ref="C85:C99" si="5">B85-B84</f>
        <v>-0.44000000000000039</v>
      </c>
    </row>
    <row r="86" spans="1:3" x14ac:dyDescent="0.15">
      <c r="A86">
        <v>9112</v>
      </c>
      <c r="B86">
        <v>4.38</v>
      </c>
      <c r="C86">
        <f t="shared" si="5"/>
        <v>-0.50999999999999979</v>
      </c>
    </row>
    <row r="87" spans="1:3" x14ac:dyDescent="0.15">
      <c r="A87">
        <v>9201</v>
      </c>
      <c r="B87">
        <v>4.1500000000000004</v>
      </c>
      <c r="C87">
        <f t="shared" si="5"/>
        <v>-0.22999999999999954</v>
      </c>
    </row>
    <row r="88" spans="1:3" x14ac:dyDescent="0.15">
      <c r="A88">
        <v>9202</v>
      </c>
      <c r="B88">
        <v>4.29</v>
      </c>
      <c r="C88">
        <f t="shared" si="5"/>
        <v>0.13999999999999968</v>
      </c>
    </row>
    <row r="89" spans="1:3" x14ac:dyDescent="0.15">
      <c r="A89">
        <v>9203</v>
      </c>
      <c r="B89">
        <v>4.63</v>
      </c>
      <c r="C89">
        <f t="shared" si="5"/>
        <v>0.33999999999999986</v>
      </c>
    </row>
    <row r="90" spans="1:3" x14ac:dyDescent="0.15">
      <c r="A90">
        <v>9204</v>
      </c>
      <c r="B90">
        <v>4.3</v>
      </c>
      <c r="C90">
        <f t="shared" si="5"/>
        <v>-0.33000000000000007</v>
      </c>
    </row>
    <row r="91" spans="1:3" x14ac:dyDescent="0.15">
      <c r="A91">
        <v>9205</v>
      </c>
      <c r="B91">
        <v>4.1900000000000004</v>
      </c>
      <c r="C91">
        <f t="shared" si="5"/>
        <v>-0.10999999999999943</v>
      </c>
    </row>
    <row r="92" spans="1:3" x14ac:dyDescent="0.15">
      <c r="A92">
        <v>9206</v>
      </c>
      <c r="B92">
        <v>4.17</v>
      </c>
      <c r="C92">
        <f t="shared" si="5"/>
        <v>-2.0000000000000462E-2</v>
      </c>
    </row>
    <row r="93" spans="1:3" x14ac:dyDescent="0.15">
      <c r="A93">
        <v>9207</v>
      </c>
      <c r="B93">
        <v>3.6</v>
      </c>
      <c r="C93">
        <f t="shared" si="5"/>
        <v>-0.56999999999999984</v>
      </c>
    </row>
    <row r="94" spans="1:3" x14ac:dyDescent="0.15">
      <c r="A94">
        <v>9208</v>
      </c>
      <c r="B94">
        <v>3.47</v>
      </c>
      <c r="C94">
        <f t="shared" si="5"/>
        <v>-0.12999999999999989</v>
      </c>
    </row>
    <row r="95" spans="1:3" x14ac:dyDescent="0.15">
      <c r="A95">
        <v>9209</v>
      </c>
      <c r="B95">
        <v>3.18</v>
      </c>
      <c r="C95">
        <f t="shared" si="5"/>
        <v>-0.29000000000000004</v>
      </c>
    </row>
    <row r="96" spans="1:3" x14ac:dyDescent="0.15">
      <c r="A96">
        <v>9210</v>
      </c>
      <c r="B96">
        <v>3.3</v>
      </c>
      <c r="C96">
        <f t="shared" si="5"/>
        <v>0.11999999999999966</v>
      </c>
    </row>
    <row r="97" spans="1:3" x14ac:dyDescent="0.15">
      <c r="A97">
        <v>9211</v>
      </c>
      <c r="B97">
        <v>3.68</v>
      </c>
      <c r="C97">
        <f t="shared" si="5"/>
        <v>0.38000000000000034</v>
      </c>
    </row>
    <row r="98" spans="1:3" x14ac:dyDescent="0.15">
      <c r="A98">
        <v>9212</v>
      </c>
      <c r="B98">
        <v>3.71</v>
      </c>
      <c r="C98">
        <f t="shared" si="5"/>
        <v>2.9999999999999805E-2</v>
      </c>
    </row>
    <row r="99" spans="1:3" x14ac:dyDescent="0.15">
      <c r="A99">
        <v>9301</v>
      </c>
      <c r="B99">
        <v>3.5</v>
      </c>
      <c r="C99">
        <f t="shared" si="5"/>
        <v>-0.20999999999999996</v>
      </c>
    </row>
  </sheetData>
  <printOptions headings="1" gridLines="1"/>
  <pageMargins left="0.75" right="0.75" top="1" bottom="1" header="0.5" footer="0.5"/>
  <pageSetup scale="50" orientation="portrait" horizontalDpi="300" verticalDpi="300"/>
  <headerFooter alignWithMargins="0">
    <oddHeader>&amp;CProblem 1.11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Vincent Chien</cp:lastModifiedBy>
  <cp:revision/>
  <dcterms:created xsi:type="dcterms:W3CDTF">2023-10-22T19:38:04Z</dcterms:created>
  <dcterms:modified xsi:type="dcterms:W3CDTF">2023-10-22T19:38:54Z</dcterms:modified>
  <cp:category/>
</cp:coreProperties>
</file>